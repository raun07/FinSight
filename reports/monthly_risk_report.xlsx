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sight\reports\"/>
    </mc:Choice>
  </mc:AlternateContent>
  <xr:revisionPtr revIDLastSave="0" documentId="13_ncr:1_{E0AE3DAC-79BF-422F-A637-0A05267952BC}" xr6:coauthVersionLast="47" xr6:coauthVersionMax="47" xr10:uidLastSave="{00000000-0000-0000-0000-000000000000}"/>
  <bookViews>
    <workbookView xWindow="-108" yWindow="-108" windowWidth="23256" windowHeight="12456" activeTab="4" xr2:uid="{E50C379D-17DE-4636-ACA4-A3D678D1DCD8}"/>
  </bookViews>
  <sheets>
    <sheet name="Grade Analysis" sheetId="2" r:id="rId1"/>
    <sheet name="Purpose Risk" sheetId="5" r:id="rId2"/>
    <sheet name="Portfolio Trend" sheetId="6" r:id="rId3"/>
    <sheet name="DTI Risk" sheetId="7" r:id="rId4"/>
    <sheet name="Executive Summary" sheetId="8" r:id="rId5"/>
  </sheets>
  <definedNames>
    <definedName name="ExternalData_1" localSheetId="3" hidden="1">'DTI Risk'!$A$1:$E$5</definedName>
    <definedName name="ExternalData_1" localSheetId="0" hidden="1">'Grade Analysis'!$A$1:$G$8</definedName>
    <definedName name="ExternalData_1" localSheetId="2" hidden="1">'Portfolio Trend'!$A$1:$E$13</definedName>
    <definedName name="ExternalData_1" localSheetId="1" hidden="1">'Purpose Risk'!$A$1:$F$15</definedName>
    <definedName name="_xlnm.Print_Area" localSheetId="4">'Executive Summary'!$B$2:$H$20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8" l="1"/>
  <c r="F7" i="8"/>
  <c r="D12" i="8"/>
  <c r="D13" i="8"/>
  <c r="D14" i="8"/>
  <c r="D15" i="8"/>
  <c r="D16" i="8"/>
  <c r="D17" i="8"/>
  <c r="C12" i="8"/>
  <c r="C13" i="8"/>
  <c r="C14" i="8"/>
  <c r="C15" i="8"/>
  <c r="C16" i="8"/>
  <c r="C17" i="8"/>
  <c r="D11" i="8"/>
  <c r="D7" i="8"/>
  <c r="B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8BC13-B9EA-411E-A5A3-C363A012EF7A}" keepAlive="1" name="Query - q1_grade_analysis" description="Connection to the 'q1_grade_analysis' query in the workbook." type="5" refreshedVersion="8" background="1" saveData="1">
    <dbPr connection="Provider=Microsoft.Mashup.OleDb.1;Data Source=$Workbook$;Location=q1_grade_analysis;Extended Properties=&quot;&quot;" command="SELECT * FROM [q1_grade_analysis]"/>
  </connection>
  <connection id="2" xr16:uid="{04A0B783-BCA3-4C44-98BE-0F18EF3B4058}" keepAlive="1" name="Query - q2_purpose_analysis" description="Connection to the 'q2_purpose_analysis' query in the workbook." type="5" refreshedVersion="8" background="1" saveData="1">
    <dbPr connection="Provider=Microsoft.Mashup.OleDb.1;Data Source=$Workbook$;Location=q2_purpose_analysis;Extended Properties=&quot;&quot;" command="SELECT * FROM [q2_purpose_analysis]"/>
  </connection>
  <connection id="3" xr16:uid="{07C76D34-38F6-44D3-A63C-FDAEFD3B4D60}" keepAlive="1" name="Query - q3_dti_analysis" description="Connection to the 'q3_dti_analysis' query in the workbook." type="5" refreshedVersion="8" background="1" saveData="1">
    <dbPr connection="Provider=Microsoft.Mashup.OleDb.1;Data Source=$Workbook$;Location=q3_dti_analysis;Extended Properties=&quot;&quot;" command="SELECT * FROM [q3_dti_analysis]"/>
  </connection>
  <connection id="4" xr16:uid="{967AEC58-DE37-4594-8E9F-40ADCB36C325}" keepAlive="1" name="Query - q4_yearly_trend" description="Connection to the 'q4_yearly_trend' query in the workbook." type="5" refreshedVersion="8" background="1" saveData="1">
    <dbPr connection="Provider=Microsoft.Mashup.OleDb.1;Data Source=$Workbook$;Location=q4_yearly_trend;Extended Properties=&quot;&quot;" command="SELECT * FROM [q4_yearly_trend]"/>
  </connection>
</connections>
</file>

<file path=xl/sharedStrings.xml><?xml version="1.0" encoding="utf-8"?>
<sst xmlns="http://schemas.openxmlformats.org/spreadsheetml/2006/main" count="90" uniqueCount="61">
  <si>
    <t>grade</t>
  </si>
  <si>
    <t>loan_count</t>
  </si>
  <si>
    <t>default_rate_pct</t>
  </si>
  <si>
    <t>avg_interest_rate</t>
  </si>
  <si>
    <t>avg_loan_amt</t>
  </si>
  <si>
    <t>default_exposure_millions</t>
  </si>
  <si>
    <t>pct_of_portfolio</t>
  </si>
  <si>
    <t>A</t>
  </si>
  <si>
    <t>B</t>
  </si>
  <si>
    <t>C</t>
  </si>
  <si>
    <t>D</t>
  </si>
  <si>
    <t>E</t>
  </si>
  <si>
    <t>F</t>
  </si>
  <si>
    <t>G</t>
  </si>
  <si>
    <t>purpose</t>
  </si>
  <si>
    <t>avg_rate</t>
  </si>
  <si>
    <t>avg_dti</t>
  </si>
  <si>
    <t>small_business</t>
  </si>
  <si>
    <t>moving</t>
  </si>
  <si>
    <t>renewable_energy</t>
  </si>
  <si>
    <t>house</t>
  </si>
  <si>
    <t>medical</t>
  </si>
  <si>
    <t>other</t>
  </si>
  <si>
    <t>debt_consolidation</t>
  </si>
  <si>
    <t>vacation</t>
  </si>
  <si>
    <t>educational</t>
  </si>
  <si>
    <t>major_purchase</t>
  </si>
  <si>
    <t>home_improvement</t>
  </si>
  <si>
    <t>credit_card</t>
  </si>
  <si>
    <t>car</t>
  </si>
  <si>
    <t>wedding</t>
  </si>
  <si>
    <t>issue_year</t>
  </si>
  <si>
    <t>loans_issued</t>
  </si>
  <si>
    <t>volume_millions</t>
  </si>
  <si>
    <t>dti_tier</t>
  </si>
  <si>
    <t>count</t>
  </si>
  <si>
    <t>High DTI (&gt;30%)</t>
  </si>
  <si>
    <t>Elevated (20-30%)</t>
  </si>
  <si>
    <t>Moderate (10-20%)</t>
  </si>
  <si>
    <t>Low DTI (&lt;10%)</t>
  </si>
  <si>
    <t>Default Rate (%)</t>
  </si>
  <si>
    <t>FinSight — Monthly Credit Risk Report</t>
  </si>
  <si>
    <t>Lending Club Portfolio Analysis | 1.33M Loans</t>
  </si>
  <si>
    <t>Total Loans Analysed</t>
  </si>
  <si>
    <t>Overall Default Rate</t>
  </si>
  <si>
    <t xml:space="preserve"> Total Default Exposure ($M)</t>
  </si>
  <si>
    <t>Highest Risk Grade</t>
  </si>
  <si>
    <t xml:space="preserve"> G (51.2%)</t>
  </si>
  <si>
    <t>Grade</t>
  </si>
  <si>
    <t>Default Rate</t>
  </si>
  <si>
    <t>Exposure $M</t>
  </si>
  <si>
    <t>Risk Level</t>
  </si>
  <si>
    <t>Low Risk</t>
  </si>
  <si>
    <t>Low-Medium</t>
  </si>
  <si>
    <t>Medium</t>
  </si>
  <si>
    <t>Medium-High</t>
  </si>
  <si>
    <t>High</t>
  </si>
  <si>
    <t>Very High</t>
  </si>
  <si>
    <t>Critical</t>
  </si>
  <si>
    <t>Portfolio Risk Executive Summary
The portfolio comprises 1,328,284 loans with a blended default rate of approximately 22.6%. Grade C and D segments represent 43.6% of the book yet account for over $2.39 billion in combined default exposure, while Grade G — though small at 0.7% of portfolio — carries the highest default rate at 51.2%. Total identified default exposure across all grades exceeds $4.44 billion.
The two highest-risk segments are small business lending (31.5% default rate) and high-DTI borrowers (&gt;30% DTI, 31.2% default rate). Small business loans exhibit elevated average rates of 15.98%, compounding loss severity, while high-DTI borrowers represent 126,976 accounts where debt servicing capacity is demonstrably stretched — a structural concentration risk.
Recommendation: Implement tightened origination thresholds for small business and high-DTI applicants, specifically capping new originations in Grade D–G tiers above 30% DTI until default trends stabilise across the 2016–2018 vintage cohorts, which show sustained default rates of 25–27%.</t>
  </si>
  <si>
    <t>Purpose2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</si>
</sst>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\$#,##0.00&quot;M&quot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0" fontId="3" fillId="0" borderId="0" xfId="0" applyNumberFormat="1" applyFont="1"/>
    <xf numFmtId="169" fontId="3" fillId="0" borderId="0" xfId="0" applyNumberFormat="1" applyFont="1"/>
    <xf numFmtId="0" fontId="7" fillId="0" borderId="2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Default Exposure by Grade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'Grade Analysis'!$F$1</c:f>
              <c:strCache>
                <c:ptCount val="1"/>
                <c:pt idx="0">
                  <c:v>default_exposure_millions</c:v>
                </c:pt>
              </c:strCache>
            </c:strRef>
          </c:tx>
          <c:spPr>
            <a:solidFill>
              <a:srgbClr val="003087"/>
            </a:solidFill>
            <a:ln>
              <a:noFill/>
            </a:ln>
            <a:effectLst/>
          </c:spPr>
          <c:invertIfNegative val="0"/>
          <c:cat>
            <c:strRef>
              <c:f>'Grade Analysis'!$A$2:$A$8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'Grade Analysis'!$F$2:$F$8</c:f>
              <c:numCache>
                <c:formatCode>General</c:formatCode>
                <c:ptCount val="7"/>
                <c:pt idx="0">
                  <c:v>208.96</c:v>
                </c:pt>
                <c:pt idx="1">
                  <c:v>765.34</c:v>
                </c:pt>
                <c:pt idx="2">
                  <c:v>1353.69</c:v>
                </c:pt>
                <c:pt idx="3">
                  <c:v>1037.3399999999999</c:v>
                </c:pt>
                <c:pt idx="4">
                  <c:v>683.73</c:v>
                </c:pt>
                <c:pt idx="5">
                  <c:v>295.10000000000002</c:v>
                </c:pt>
                <c:pt idx="6">
                  <c:v>98.06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2-4508-85F1-D3EDBC24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150464"/>
        <c:axId val="617150944"/>
      </c:barChart>
      <c:catAx>
        <c:axId val="61715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50944"/>
        <c:crosses val="autoZero"/>
        <c:auto val="1"/>
        <c:lblAlgn val="ctr"/>
        <c:lblOffset val="100"/>
        <c:noMultiLvlLbl val="0"/>
      </c:catAx>
      <c:valAx>
        <c:axId val="61715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Exposure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5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Loan Purpose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'Purpose Risk'!$G$2:$G$15</c:f>
              <c:strCache>
                <c:ptCount val="14"/>
                <c:pt idx="0">
                  <c:v>small_business</c:v>
                </c:pt>
                <c:pt idx="1">
                  <c:v>moving</c:v>
                </c:pt>
                <c:pt idx="2">
                  <c:v>renewable_energy</c:v>
                </c:pt>
                <c:pt idx="3">
                  <c:v>house</c:v>
                </c:pt>
                <c:pt idx="4">
                  <c:v>medical</c:v>
                </c:pt>
                <c:pt idx="5">
                  <c:v>other</c:v>
                </c:pt>
                <c:pt idx="6">
                  <c:v>debt_consolidation</c:v>
                </c:pt>
                <c:pt idx="7">
                  <c:v>vacation</c:v>
                </c:pt>
                <c:pt idx="8">
                  <c:v>educational</c:v>
                </c:pt>
                <c:pt idx="9">
                  <c:v>major_purchase</c:v>
                </c:pt>
                <c:pt idx="10">
                  <c:v>home_improvement</c:v>
                </c:pt>
                <c:pt idx="11">
                  <c:v>credit_card</c:v>
                </c:pt>
                <c:pt idx="12">
                  <c:v>car</c:v>
                </c:pt>
                <c:pt idx="13">
                  <c:v>wedding</c:v>
                </c:pt>
              </c:strCache>
            </c:strRef>
          </c:cat>
          <c:val>
            <c:numRef>
              <c:f>'Purpose Risk'!#REF!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'Purpose Risk'!#REF!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1DB-4F18-A318-835FADBC7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159584"/>
        <c:axId val="617155264"/>
      </c:barChart>
      <c:catAx>
        <c:axId val="61715958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 Purpose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55264"/>
        <c:crosses val="autoZero"/>
        <c:auto val="1"/>
        <c:lblAlgn val="ctr"/>
        <c:lblOffset val="100"/>
        <c:noMultiLvlLbl val="0"/>
      </c:catAx>
      <c:valAx>
        <c:axId val="6171552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Default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5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Default Rate (%)</c:v>
          </c:tx>
          <c:spPr>
            <a:ln w="28575" cap="rnd">
              <a:solidFill>
                <a:srgbClr val="CC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CC0000"/>
              </a:solidFill>
              <a:ln w="9525">
                <a:solidFill>
                  <a:srgbClr val="CC0000"/>
                </a:solidFill>
                <a:prstDash val="solid"/>
              </a:ln>
              <a:effectLst/>
            </c:spPr>
          </c:marker>
          <c:cat>
            <c:numRef>
              <c:f>'Portfolio Trend'!$A$2:$A$13</c:f>
              <c:numCache>
                <c:formatCode>General</c:formatCode>
                <c:ptCount val="12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</c:numCache>
            </c:numRef>
          </c:cat>
          <c:val>
            <c:numRef>
              <c:f>'Portfolio Trend'!$D$2:$D$13</c:f>
              <c:numCache>
                <c:formatCode>General</c:formatCode>
                <c:ptCount val="12"/>
                <c:pt idx="0">
                  <c:v>26.2</c:v>
                </c:pt>
                <c:pt idx="1">
                  <c:v>20.73</c:v>
                </c:pt>
                <c:pt idx="2">
                  <c:v>13.69</c:v>
                </c:pt>
                <c:pt idx="3">
                  <c:v>14.01</c:v>
                </c:pt>
                <c:pt idx="4">
                  <c:v>15.18</c:v>
                </c:pt>
                <c:pt idx="5">
                  <c:v>16.2</c:v>
                </c:pt>
                <c:pt idx="6">
                  <c:v>15.6</c:v>
                </c:pt>
                <c:pt idx="7">
                  <c:v>18.670000000000002</c:v>
                </c:pt>
                <c:pt idx="8">
                  <c:v>20.49</c:v>
                </c:pt>
                <c:pt idx="9">
                  <c:v>25.62</c:v>
                </c:pt>
                <c:pt idx="10">
                  <c:v>26.8</c:v>
                </c:pt>
                <c:pt idx="11">
                  <c:v>25.07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A5A-B032-BA010F6E8EA5}"/>
            </c:ext>
          </c:extLst>
        </c:ser>
        <c:ser>
          <c:idx val="1"/>
          <c:order val="1"/>
          <c:tx>
            <c:v>Avg Interest Rate (%)</c:v>
          </c:tx>
          <c:spPr>
            <a:ln w="28575" cap="rnd">
              <a:solidFill>
                <a:srgbClr val="003087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3087"/>
              </a:solidFill>
              <a:ln w="9525">
                <a:solidFill>
                  <a:srgbClr val="003087"/>
                </a:solidFill>
                <a:prstDash val="solid"/>
              </a:ln>
              <a:effectLst/>
            </c:spPr>
          </c:marker>
          <c:cat>
            <c:numRef>
              <c:f>'Portfolio Trend'!$A$2:$A$13</c:f>
              <c:numCache>
                <c:formatCode>General</c:formatCode>
                <c:ptCount val="12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</c:numCache>
            </c:numRef>
          </c:cat>
          <c:val>
            <c:numRef>
              <c:f>'Portfolio Trend'!$E$2:$E$13</c:f>
              <c:numCache>
                <c:formatCode>General</c:formatCode>
                <c:ptCount val="12"/>
                <c:pt idx="0">
                  <c:v>11.83</c:v>
                </c:pt>
                <c:pt idx="1">
                  <c:v>12.06</c:v>
                </c:pt>
                <c:pt idx="2">
                  <c:v>12.44</c:v>
                </c:pt>
                <c:pt idx="3">
                  <c:v>11.99</c:v>
                </c:pt>
                <c:pt idx="4">
                  <c:v>12.22</c:v>
                </c:pt>
                <c:pt idx="5">
                  <c:v>13.64</c:v>
                </c:pt>
                <c:pt idx="6">
                  <c:v>14.53</c:v>
                </c:pt>
                <c:pt idx="7">
                  <c:v>13.64</c:v>
                </c:pt>
                <c:pt idx="8">
                  <c:v>12.39</c:v>
                </c:pt>
                <c:pt idx="9">
                  <c:v>13.22</c:v>
                </c:pt>
                <c:pt idx="10">
                  <c:v>14.05</c:v>
                </c:pt>
                <c:pt idx="11">
                  <c:v>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A5A-B032-BA010F6E8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156224"/>
        <c:axId val="617164384"/>
      </c:lineChart>
      <c:catAx>
        <c:axId val="61715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Issue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64384"/>
        <c:crosses val="autoZero"/>
        <c:auto val="1"/>
        <c:lblAlgn val="ctr"/>
        <c:lblOffset val="100"/>
        <c:noMultiLvlLbl val="0"/>
      </c:catAx>
      <c:valAx>
        <c:axId val="61716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5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DTI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'DTI Risk'!$C$1</c:f>
              <c:strCache>
                <c:ptCount val="1"/>
                <c:pt idx="0">
                  <c:v>default_rate_pct</c:v>
                </c:pt>
              </c:strCache>
            </c:strRef>
          </c:tx>
          <c:spPr>
            <a:solidFill>
              <a:srgbClr val="CC0000"/>
            </a:solidFill>
            <a:ln>
              <a:noFill/>
            </a:ln>
            <a:effectLst/>
          </c:spPr>
          <c:invertIfNegative val="0"/>
          <c:cat>
            <c:strRef>
              <c:f>'DTI Risk'!$A$2:$A$5</c:f>
              <c:strCache>
                <c:ptCount val="4"/>
                <c:pt idx="0">
                  <c:v>High DTI (&gt;30%)</c:v>
                </c:pt>
                <c:pt idx="1">
                  <c:v>Elevated (20-30%)</c:v>
                </c:pt>
                <c:pt idx="2">
                  <c:v>Moderate (10-20%)</c:v>
                </c:pt>
                <c:pt idx="3">
                  <c:v>Low DTI (&lt;10%)</c:v>
                </c:pt>
              </c:strCache>
            </c:strRef>
          </c:cat>
          <c:val>
            <c:numRef>
              <c:f>'DTI Risk'!$C$2:$C$5</c:f>
              <c:numCache>
                <c:formatCode>General</c:formatCode>
                <c:ptCount val="4"/>
                <c:pt idx="0">
                  <c:v>31.24</c:v>
                </c:pt>
                <c:pt idx="1">
                  <c:v>24.51</c:v>
                </c:pt>
                <c:pt idx="2">
                  <c:v>19.16</c:v>
                </c:pt>
                <c:pt idx="3">
                  <c:v>16.22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0-4382-8F99-0B2C77FE1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104864"/>
        <c:axId val="617101504"/>
      </c:barChart>
      <c:catAx>
        <c:axId val="61710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DTI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01504"/>
        <c:crosses val="autoZero"/>
        <c:auto val="1"/>
        <c:lblAlgn val="ctr"/>
        <c:lblOffset val="100"/>
        <c:noMultiLvlLbl val="0"/>
      </c:catAx>
      <c:valAx>
        <c:axId val="6171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Default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0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8</xdr:row>
      <xdr:rowOff>137160</xdr:rowOff>
    </xdr:from>
    <xdr:to>
      <xdr:col>4</xdr:col>
      <xdr:colOff>114300</xdr:colOff>
      <xdr:row>25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5ABF7B-87CD-80BF-EE6C-271F5D80E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368210</xdr:colOff>
      <xdr:row>15</xdr:row>
      <xdr:rowOff>127620</xdr:rowOff>
    </xdr:from>
    <xdr:to>
      <xdr:col>6</xdr:col>
      <xdr:colOff>184354</xdr:colOff>
      <xdr:row>34</xdr:row>
      <xdr:rowOff>49160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0DB21-5E5B-C3F2-9821-6F387D37B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205378</xdr:colOff>
      <xdr:row>13</xdr:row>
      <xdr:rowOff>87086</xdr:rowOff>
    </xdr:from>
    <xdr:to>
      <xdr:col>4</xdr:col>
      <xdr:colOff>674915</xdr:colOff>
      <xdr:row>29</xdr:row>
      <xdr:rowOff>21045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B40A26-507F-116E-BD30-8B64C4CA5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178130</xdr:colOff>
      <xdr:row>6</xdr:row>
      <xdr:rowOff>14486</xdr:rowOff>
    </xdr:from>
    <xdr:to>
      <xdr:col>5</xdr:col>
      <xdr:colOff>23665</xdr:colOff>
      <xdr:row>23</xdr:row>
      <xdr:rowOff>99852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02AB4-E467-F95A-973A-73CD58FCE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61495E-A2D1-4092-BBCC-94216349E0AB}" autoFormatId="16" applyNumberFormats="0" applyBorderFormats="0" applyFontFormats="0" applyPatternFormats="0" applyAlignmentFormats="0" applyWidthHeightFormats="0">
  <queryTableRefresh nextId="8">
    <queryTableFields count="7">
      <queryTableField id="1" name="grade" tableColumnId="1"/>
      <queryTableField id="2" name="loan_count" tableColumnId="2"/>
      <queryTableField id="3" name="default_rate_pct" tableColumnId="3"/>
      <queryTableField id="4" name="avg_interest_rate" tableColumnId="4"/>
      <queryTableField id="5" name="avg_loan_amt" tableColumnId="5"/>
      <queryTableField id="6" name="default_exposure_millions" tableColumnId="6"/>
      <queryTableField id="7" name="pct_of_portfolio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3A05DD-279D-42B7-B650-12052EB3858D}" autoFormatId="16" applyNumberFormats="0" applyBorderFormats="0" applyFontFormats="0" applyPatternFormats="0" applyAlignmentFormats="0" applyWidthHeightFormats="0">
  <queryTableRefresh nextId="11" unboundColumnsRight="2">
    <queryTableFields count="8">
      <queryTableField id="1" name="purpose" tableColumnId="1"/>
      <queryTableField id="2" name="loan_count" tableColumnId="2"/>
      <queryTableField id="3" name="avg_loan_amt" tableColumnId="3"/>
      <queryTableField id="4" name="default_rate_pct" tableColumnId="4"/>
      <queryTableField id="5" name="avg_rate" tableColumnId="5"/>
      <queryTableField id="6" name="avg_dti" tableColumnId="6"/>
      <queryTableField id="8" dataBound="0" tableColumnId="8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324B1D6-0B10-403B-AA95-6B26501F9709}" autoFormatId="16" applyNumberFormats="0" applyBorderFormats="0" applyFontFormats="0" applyPatternFormats="0" applyAlignmentFormats="0" applyWidthHeightFormats="0">
  <queryTableRefresh nextId="6">
    <queryTableFields count="5">
      <queryTableField id="1" name="issue_year" tableColumnId="1"/>
      <queryTableField id="2" name="loans_issued" tableColumnId="2"/>
      <queryTableField id="3" name="volume_millions" tableColumnId="3"/>
      <queryTableField id="4" name="default_rate_pct" tableColumnId="4"/>
      <queryTableField id="5" name="avg_ra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08D70B4-FF3B-4E1C-BD29-65F13FCBEE29}" autoFormatId="16" applyNumberFormats="0" applyBorderFormats="0" applyFontFormats="0" applyPatternFormats="0" applyAlignmentFormats="0" applyWidthHeightFormats="0">
  <queryTableRefresh nextId="6">
    <queryTableFields count="5">
      <queryTableField id="1" name="dti_tier" tableColumnId="1"/>
      <queryTableField id="2" name="count" tableColumnId="2"/>
      <queryTableField id="3" name="default_rate_pct" tableColumnId="3"/>
      <queryTableField id="4" name="avg_rate" tableColumnId="4"/>
      <queryTableField id="5" name="avg_loan_am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F0DA2-8B4F-46B0-812C-6BFFFA75E39B}" name="q1_grade_analysis" displayName="q1_grade_analysis" ref="A1:G8" tableType="queryTable" totalsRowShown="0">
  <autoFilter ref="A1:G8" xr:uid="{E50F0DA2-8B4F-46B0-812C-6BFFFA75E39B}"/>
  <tableColumns count="7">
    <tableColumn id="1" xr3:uid="{BB11FBAD-E2A6-49EA-97D3-268173430691}" uniqueName="1" name="grade" queryTableFieldId="1" dataDxfId="5"/>
    <tableColumn id="2" xr3:uid="{A6BE611B-1EA5-4559-9A3E-A2C07DA3E153}" uniqueName="2" name="loan_count" queryTableFieldId="2"/>
    <tableColumn id="3" xr3:uid="{DB516CF1-692A-4F05-8B11-F20D0886BCCD}" uniqueName="3" name="default_rate_pct" queryTableFieldId="3"/>
    <tableColumn id="4" xr3:uid="{481DBE54-B4F9-4188-96A7-A94FC3720F60}" uniqueName="4" name="avg_interest_rate" queryTableFieldId="4"/>
    <tableColumn id="5" xr3:uid="{7621C91E-31B2-4394-8046-07AE55B41A79}" uniqueName="5" name="avg_loan_amt" queryTableFieldId="5"/>
    <tableColumn id="6" xr3:uid="{FE55EC0A-620F-4E21-9267-B8D302CCF1E6}" uniqueName="6" name="default_exposure_millions" queryTableFieldId="6"/>
    <tableColumn id="7" xr3:uid="{473AF0BF-AD7D-4E3B-802C-3C0F331DAD22}" uniqueName="7" name="pct_of_portfolio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4E612-CA6D-4CD1-A945-33AA50535E99}" name="q2_purpose_analysis" displayName="q2_purpose_analysis" ref="A1:H15" tableType="queryTable" totalsRowShown="0">
  <autoFilter ref="A1:H15" xr:uid="{B5E4E612-CA6D-4CD1-A945-33AA50535E99}"/>
  <tableColumns count="8">
    <tableColumn id="1" xr3:uid="{6BCF9200-EDD4-4507-B8E3-6CBD76A5E51B}" uniqueName="1" name="purpose" queryTableFieldId="1" dataDxfId="4"/>
    <tableColumn id="2" xr3:uid="{D8719B95-F375-4F6F-AE7B-60F503E086F3}" uniqueName="2" name="loan_count" queryTableFieldId="2"/>
    <tableColumn id="3" xr3:uid="{64590EF0-B7E9-4DF1-A346-423D0A9B2B67}" uniqueName="3" name="avg_loan_amt" queryTableFieldId="3"/>
    <tableColumn id="4" xr3:uid="{E61A6800-E432-4F13-A0D7-DD59DCEE5318}" uniqueName="4" name="default_rate_pct" queryTableFieldId="4"/>
    <tableColumn id="5" xr3:uid="{7100654D-88B8-4CF2-9FDB-49D681FEB2FF}" uniqueName="5" name="avg_rate" queryTableFieldId="5"/>
    <tableColumn id="6" xr3:uid="{AADA6937-5451-4382-AED0-372F6EE30D80}" uniqueName="6" name="avg_dti" queryTableFieldId="6"/>
    <tableColumn id="8" xr3:uid="{8A95F974-3B93-4228-B41A-2D22F398024E}" uniqueName="8" name="Purpose2" queryTableFieldId="8"/>
    <tableColumn id="7" xr3:uid="{8687576C-8675-4185-93D4-A20AD51BA512}" uniqueName="7" name="Default Rate (%)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53C49E-494B-4A58-9830-EB511C6695A6}" name="q4_yearly_trend" displayName="q4_yearly_trend" ref="A1:E13" tableType="queryTable" totalsRowShown="0">
  <autoFilter ref="A1:E13" xr:uid="{AD53C49E-494B-4A58-9830-EB511C6695A6}"/>
  <tableColumns count="5">
    <tableColumn id="1" xr3:uid="{EBD7D2DD-1A16-4E3B-8F89-094E07A11927}" uniqueName="1" name="issue_year" queryTableFieldId="1"/>
    <tableColumn id="2" xr3:uid="{56ADDA64-9E10-4F2E-8C24-CEDFE5CD5FC1}" uniqueName="2" name="loans_issued" queryTableFieldId="2"/>
    <tableColumn id="3" xr3:uid="{803E8FEB-08F5-4364-BB7C-430C275487E1}" uniqueName="3" name="volume_millions" queryTableFieldId="3"/>
    <tableColumn id="4" xr3:uid="{F0C2B47B-21A5-49BE-8863-6D4CB26B4C36}" uniqueName="4" name="default_rate_pct" queryTableFieldId="4"/>
    <tableColumn id="5" xr3:uid="{DB1D19E9-957C-42BB-9953-4E3CB73AD8A6}" uniqueName="5" name="avg_rat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20E6FC-9FBF-4DA2-813F-C5E904ABB33C}" name="q3_dti_analysis" displayName="q3_dti_analysis" ref="A1:E5" tableType="queryTable" totalsRowShown="0">
  <autoFilter ref="A1:E5" xr:uid="{1620E6FC-9FBF-4DA2-813F-C5E904ABB33C}"/>
  <tableColumns count="5">
    <tableColumn id="1" xr3:uid="{E52453F3-1918-48FD-BDA6-A096CE244D99}" uniqueName="1" name="dti_tier" queryTableFieldId="1" dataDxfId="3"/>
    <tableColumn id="2" xr3:uid="{CB4C8CD6-B5D8-4BDF-B53B-55D338C1FFC8}" uniqueName="2" name="count" queryTableFieldId="2"/>
    <tableColumn id="3" xr3:uid="{EF914833-6696-4A21-AC4A-F8F375698AFE}" uniqueName="3" name="default_rate_pct" queryTableFieldId="3"/>
    <tableColumn id="4" xr3:uid="{DC28B164-7C9C-49E1-BD9A-53ACBB3D606C}" uniqueName="4" name="avg_rate" queryTableFieldId="4"/>
    <tableColumn id="5" xr3:uid="{8D417C8A-4796-4FE5-B88E-D05A79853300}" uniqueName="5" name="avg_loan_am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426560-3443-4F18-96FD-AA363713C18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262cad1-58ed-4764-8152-571dea31d07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A9DF-9CB8-4305-9849-0582A68958CF}">
  <dimension ref="A1:G20"/>
  <sheetViews>
    <sheetView tabSelected="1" workbookViewId="0">
      <selection activeCell="O20" sqref="O20"/>
    </sheetView>
  </sheetViews>
  <sheetFormatPr defaultRowHeight="14.4" x14ac:dyDescent="0.3"/>
  <cols>
    <col min="1" max="1" width="8" bestFit="1" customWidth="1"/>
    <col min="2" max="2" width="12.77734375" bestFit="1" customWidth="1"/>
    <col min="3" max="3" width="17.33203125" bestFit="1" customWidth="1"/>
    <col min="4" max="4" width="18" bestFit="1" customWidth="1"/>
    <col min="5" max="5" width="15.33203125" bestFit="1" customWidth="1"/>
    <col min="6" max="6" width="25.6640625" bestFit="1" customWidth="1"/>
    <col min="7" max="7" width="7.109375" customWidth="1"/>
    <col min="8" max="8" width="18.109375" customWidth="1"/>
    <col min="15" max="15" width="14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227657</v>
      </c>
      <c r="C2">
        <v>6.63</v>
      </c>
      <c r="D2">
        <v>7.13</v>
      </c>
      <c r="E2">
        <v>13881</v>
      </c>
      <c r="F2">
        <v>208.96</v>
      </c>
      <c r="G2">
        <v>17.100000000000001</v>
      </c>
    </row>
    <row r="3" spans="1:7" x14ac:dyDescent="0.3">
      <c r="A3" s="1" t="s">
        <v>8</v>
      </c>
      <c r="B3">
        <v>385270</v>
      </c>
      <c r="C3">
        <v>14.52</v>
      </c>
      <c r="D3">
        <v>10.69</v>
      </c>
      <c r="E3">
        <v>13250</v>
      </c>
      <c r="F3">
        <v>765.34</v>
      </c>
      <c r="G3">
        <v>29</v>
      </c>
    </row>
    <row r="4" spans="1:7" x14ac:dyDescent="0.3">
      <c r="A4" s="1" t="s">
        <v>9</v>
      </c>
      <c r="B4">
        <v>378206</v>
      </c>
      <c r="C4">
        <v>24.08</v>
      </c>
      <c r="D4">
        <v>14.02</v>
      </c>
      <c r="E4">
        <v>14218</v>
      </c>
      <c r="F4">
        <v>1353.69</v>
      </c>
      <c r="G4">
        <v>28.5</v>
      </c>
    </row>
    <row r="5" spans="1:7" x14ac:dyDescent="0.3">
      <c r="A5" s="1" t="s">
        <v>10</v>
      </c>
      <c r="B5">
        <v>200964</v>
      </c>
      <c r="C5">
        <v>32.159999999999997</v>
      </c>
      <c r="D5">
        <v>17.72</v>
      </c>
      <c r="E5">
        <v>15284</v>
      </c>
      <c r="F5">
        <v>1037.3399999999999</v>
      </c>
      <c r="G5">
        <v>15.1</v>
      </c>
    </row>
    <row r="6" spans="1:7" x14ac:dyDescent="0.3">
      <c r="A6" s="1" t="s">
        <v>11</v>
      </c>
      <c r="B6">
        <v>94336</v>
      </c>
      <c r="C6">
        <v>40.020000000000003</v>
      </c>
      <c r="D6">
        <v>21.13</v>
      </c>
      <c r="E6">
        <v>17601</v>
      </c>
      <c r="F6">
        <v>683.73</v>
      </c>
      <c r="G6">
        <v>7.1</v>
      </c>
    </row>
    <row r="7" spans="1:7" x14ac:dyDescent="0.3">
      <c r="A7" s="1" t="s">
        <v>12</v>
      </c>
      <c r="B7">
        <v>32450</v>
      </c>
      <c r="C7">
        <v>46.46</v>
      </c>
      <c r="D7">
        <v>24.91</v>
      </c>
      <c r="E7">
        <v>19074</v>
      </c>
      <c r="F7">
        <v>295.10000000000002</v>
      </c>
      <c r="G7">
        <v>2.4</v>
      </c>
    </row>
    <row r="8" spans="1:7" x14ac:dyDescent="0.3">
      <c r="A8" s="1" t="s">
        <v>13</v>
      </c>
      <c r="B8">
        <v>9401</v>
      </c>
      <c r="C8">
        <v>51.16</v>
      </c>
      <c r="D8">
        <v>27.57</v>
      </c>
      <c r="E8">
        <v>20440</v>
      </c>
      <c r="F8">
        <v>98.06</v>
      </c>
      <c r="G8">
        <v>0.7</v>
      </c>
    </row>
    <row r="20" ht="94.95" customHeight="1" x14ac:dyDescent="0.3"/>
  </sheetData>
  <printOptions horizontalCentered="1"/>
  <pageMargins left="3.472222222222222E-3" right="3.472222222222222E-3" top="3.472222222222222E-3" bottom="3.472222222222222E-3" header="4.1666666666666666E-3" footer="4.1666666666666666E-3"/>
  <pageSetup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9B1C-9B3F-4B8B-AE87-3B978653A37C}">
  <dimension ref="A1:H20"/>
  <sheetViews>
    <sheetView tabSelected="1" zoomScale="62" workbookViewId="0">
      <selection activeCell="O20" sqref="O20"/>
    </sheetView>
  </sheetViews>
  <sheetFormatPr defaultRowHeight="14.4" x14ac:dyDescent="0.3"/>
  <cols>
    <col min="1" max="1" width="17.77734375" bestFit="1" customWidth="1"/>
    <col min="2" max="2" width="12.77734375" bestFit="1" customWidth="1"/>
    <col min="3" max="3" width="15.33203125" bestFit="1" customWidth="1"/>
    <col min="4" max="4" width="17.33203125" bestFit="1" customWidth="1"/>
    <col min="5" max="5" width="10.5546875" bestFit="1" customWidth="1"/>
    <col min="6" max="6" width="9.44140625" bestFit="1" customWidth="1"/>
    <col min="7" max="7" width="7.109375" customWidth="1"/>
    <col min="8" max="8" width="18.109375" customWidth="1"/>
    <col min="15" max="15" width="14.77734375" customWidth="1"/>
  </cols>
  <sheetData>
    <row r="1" spans="1:8" x14ac:dyDescent="0.3">
      <c r="A1" t="s">
        <v>14</v>
      </c>
      <c r="B1" t="s">
        <v>1</v>
      </c>
      <c r="C1" t="s">
        <v>4</v>
      </c>
      <c r="D1" t="s">
        <v>2</v>
      </c>
      <c r="E1" t="s">
        <v>15</v>
      </c>
      <c r="F1" t="s">
        <v>16</v>
      </c>
      <c r="G1" t="s">
        <v>60</v>
      </c>
      <c r="H1" t="s">
        <v>40</v>
      </c>
    </row>
    <row r="2" spans="1:8" x14ac:dyDescent="0.3">
      <c r="A2" s="1" t="s">
        <v>17</v>
      </c>
      <c r="B2">
        <v>15526</v>
      </c>
      <c r="C2">
        <v>15694</v>
      </c>
      <c r="D2">
        <v>31.51</v>
      </c>
      <c r="E2">
        <v>15.98</v>
      </c>
      <c r="F2">
        <v>14.56</v>
      </c>
      <c r="G2" t="s">
        <v>17</v>
      </c>
      <c r="H2">
        <v>31.51</v>
      </c>
    </row>
    <row r="3" spans="1:8" x14ac:dyDescent="0.3">
      <c r="A3" s="1" t="s">
        <v>18</v>
      </c>
      <c r="B3">
        <v>9406</v>
      </c>
      <c r="C3">
        <v>7885</v>
      </c>
      <c r="D3">
        <v>25.02</v>
      </c>
      <c r="E3">
        <v>15.18</v>
      </c>
      <c r="F3">
        <v>16.52</v>
      </c>
      <c r="G3" t="s">
        <v>18</v>
      </c>
      <c r="H3">
        <v>25.02</v>
      </c>
    </row>
    <row r="4" spans="1:8" x14ac:dyDescent="0.3">
      <c r="A4" s="1" t="s">
        <v>19</v>
      </c>
      <c r="B4">
        <v>929</v>
      </c>
      <c r="C4">
        <v>10095</v>
      </c>
      <c r="D4">
        <v>24.97</v>
      </c>
      <c r="E4">
        <v>15.21</v>
      </c>
      <c r="F4">
        <v>16.14</v>
      </c>
      <c r="G4" t="s">
        <v>19</v>
      </c>
      <c r="H4">
        <v>24.97</v>
      </c>
    </row>
    <row r="5" spans="1:8" x14ac:dyDescent="0.3">
      <c r="A5" s="1" t="s">
        <v>20</v>
      </c>
      <c r="B5">
        <v>7222</v>
      </c>
      <c r="C5">
        <v>15402</v>
      </c>
      <c r="D5">
        <v>24.02</v>
      </c>
      <c r="E5">
        <v>15.5</v>
      </c>
      <c r="F5">
        <v>14.58</v>
      </c>
      <c r="G5" t="s">
        <v>20</v>
      </c>
      <c r="H5">
        <v>24.02</v>
      </c>
    </row>
    <row r="6" spans="1:8" x14ac:dyDescent="0.3">
      <c r="A6" s="1" t="s">
        <v>21</v>
      </c>
      <c r="B6">
        <v>15400</v>
      </c>
      <c r="C6">
        <v>9043</v>
      </c>
      <c r="D6">
        <v>23.58</v>
      </c>
      <c r="E6">
        <v>14.09</v>
      </c>
      <c r="F6">
        <v>17.600000000000001</v>
      </c>
      <c r="G6" t="s">
        <v>21</v>
      </c>
      <c r="H6">
        <v>23.58</v>
      </c>
    </row>
    <row r="7" spans="1:8" x14ac:dyDescent="0.3">
      <c r="A7" s="1" t="s">
        <v>22</v>
      </c>
      <c r="B7">
        <v>77035</v>
      </c>
      <c r="C7">
        <v>9894</v>
      </c>
      <c r="D7">
        <v>22.93</v>
      </c>
      <c r="E7">
        <v>14.66</v>
      </c>
      <c r="F7">
        <v>16.96</v>
      </c>
      <c r="G7" t="s">
        <v>22</v>
      </c>
      <c r="H7">
        <v>22.93</v>
      </c>
    </row>
    <row r="8" spans="1:8" x14ac:dyDescent="0.3">
      <c r="A8" s="1" t="s">
        <v>23</v>
      </c>
      <c r="B8">
        <v>771345</v>
      </c>
      <c r="C8">
        <v>15253</v>
      </c>
      <c r="D8">
        <v>22.56</v>
      </c>
      <c r="E8">
        <v>13.68</v>
      </c>
      <c r="F8">
        <v>18.95</v>
      </c>
      <c r="G8" t="s">
        <v>23</v>
      </c>
      <c r="H8">
        <v>22.56</v>
      </c>
    </row>
    <row r="9" spans="1:8" x14ac:dyDescent="0.3">
      <c r="A9" s="1" t="s">
        <v>24</v>
      </c>
      <c r="B9">
        <v>8926</v>
      </c>
      <c r="C9">
        <v>6233</v>
      </c>
      <c r="D9">
        <v>20.85</v>
      </c>
      <c r="E9">
        <v>13.73</v>
      </c>
      <c r="F9">
        <v>17.64</v>
      </c>
      <c r="G9" t="s">
        <v>24</v>
      </c>
      <c r="H9">
        <v>20.85</v>
      </c>
    </row>
    <row r="10" spans="1:8" x14ac:dyDescent="0.3">
      <c r="A10" s="1" t="s">
        <v>25</v>
      </c>
      <c r="B10">
        <v>423</v>
      </c>
      <c r="C10">
        <v>6616</v>
      </c>
      <c r="D10">
        <v>20.8</v>
      </c>
      <c r="E10">
        <v>12.12</v>
      </c>
      <c r="F10">
        <v>11.26</v>
      </c>
      <c r="G10" t="s">
        <v>25</v>
      </c>
      <c r="H10">
        <v>20.8</v>
      </c>
    </row>
    <row r="11" spans="1:8" x14ac:dyDescent="0.3">
      <c r="A11" s="1" t="s">
        <v>26</v>
      </c>
      <c r="B11">
        <v>29032</v>
      </c>
      <c r="C11">
        <v>11920</v>
      </c>
      <c r="D11">
        <v>20.350000000000001</v>
      </c>
      <c r="E11">
        <v>12.82</v>
      </c>
      <c r="F11">
        <v>14.8</v>
      </c>
      <c r="G11" t="s">
        <v>26</v>
      </c>
      <c r="H11">
        <v>20.350000000000001</v>
      </c>
    </row>
    <row r="12" spans="1:8" x14ac:dyDescent="0.3">
      <c r="A12" s="1" t="s">
        <v>27</v>
      </c>
      <c r="B12">
        <v>86160</v>
      </c>
      <c r="C12">
        <v>14190</v>
      </c>
      <c r="D12">
        <v>19.27</v>
      </c>
      <c r="E12">
        <v>12.86</v>
      </c>
      <c r="F12">
        <v>16.02</v>
      </c>
      <c r="G12" t="s">
        <v>27</v>
      </c>
      <c r="H12">
        <v>19.27</v>
      </c>
    </row>
    <row r="13" spans="1:8" x14ac:dyDescent="0.3">
      <c r="A13" s="1" t="s">
        <v>28</v>
      </c>
      <c r="B13">
        <v>290136</v>
      </c>
      <c r="C13">
        <v>14821</v>
      </c>
      <c r="D13">
        <v>18.2</v>
      </c>
      <c r="E13">
        <v>11.84</v>
      </c>
      <c r="F13">
        <v>18.489999999999998</v>
      </c>
      <c r="G13" t="s">
        <v>28</v>
      </c>
      <c r="H13">
        <v>18.2</v>
      </c>
    </row>
    <row r="14" spans="1:8" x14ac:dyDescent="0.3">
      <c r="A14" s="1" t="s">
        <v>29</v>
      </c>
      <c r="B14">
        <v>14394</v>
      </c>
      <c r="C14">
        <v>8874</v>
      </c>
      <c r="D14">
        <v>15.91</v>
      </c>
      <c r="E14">
        <v>12.13</v>
      </c>
      <c r="F14">
        <v>14.9</v>
      </c>
      <c r="G14" t="s">
        <v>29</v>
      </c>
      <c r="H14">
        <v>15.91</v>
      </c>
    </row>
    <row r="15" spans="1:8" x14ac:dyDescent="0.3">
      <c r="A15" s="1" t="s">
        <v>30</v>
      </c>
      <c r="B15">
        <v>2350</v>
      </c>
      <c r="C15">
        <v>10466</v>
      </c>
      <c r="D15">
        <v>12.43</v>
      </c>
      <c r="E15">
        <v>14.16</v>
      </c>
      <c r="F15">
        <v>13.98</v>
      </c>
      <c r="G15" t="s">
        <v>30</v>
      </c>
      <c r="H15">
        <v>12.43</v>
      </c>
    </row>
    <row r="20" ht="94.95" customHeight="1" x14ac:dyDescent="0.3"/>
  </sheetData>
  <printOptions horizontalCentered="1"/>
  <pageMargins left="3.472222222222222E-3" right="3.472222222222222E-3" top="3.472222222222222E-3" bottom="3.472222222222222E-3" header="4.1666666666666666E-3" footer="4.1666666666666666E-3"/>
  <pageSetup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1F37-B00B-4E04-8E67-F835DAC3845D}">
  <dimension ref="A1:E20"/>
  <sheetViews>
    <sheetView tabSelected="1" zoomScale="70" workbookViewId="0">
      <selection activeCell="O20" sqref="O20"/>
    </sheetView>
  </sheetViews>
  <sheetFormatPr defaultRowHeight="14.4" x14ac:dyDescent="0.3"/>
  <cols>
    <col min="1" max="1" width="12" bestFit="1" customWidth="1"/>
    <col min="2" max="2" width="13.88671875" bestFit="1" customWidth="1"/>
    <col min="3" max="3" width="17.109375" bestFit="1" customWidth="1"/>
    <col min="4" max="4" width="17.33203125" bestFit="1" customWidth="1"/>
    <col min="5" max="5" width="10.5546875" bestFit="1" customWidth="1"/>
    <col min="7" max="7" width="7.109375" customWidth="1"/>
    <col min="8" max="8" width="18.109375" customWidth="1"/>
    <col min="15" max="15" width="14.77734375" customWidth="1"/>
  </cols>
  <sheetData>
    <row r="1" spans="1:5" x14ac:dyDescent="0.3">
      <c r="A1" t="s">
        <v>31</v>
      </c>
      <c r="B1" t="s">
        <v>32</v>
      </c>
      <c r="C1" t="s">
        <v>33</v>
      </c>
      <c r="D1" t="s">
        <v>2</v>
      </c>
      <c r="E1" t="s">
        <v>15</v>
      </c>
    </row>
    <row r="2" spans="1:5" x14ac:dyDescent="0.3">
      <c r="A2">
        <v>2007</v>
      </c>
      <c r="B2">
        <v>603</v>
      </c>
      <c r="C2">
        <v>5</v>
      </c>
      <c r="D2">
        <v>26.2</v>
      </c>
      <c r="E2">
        <v>11.83</v>
      </c>
    </row>
    <row r="3" spans="1:5" x14ac:dyDescent="0.3">
      <c r="A3">
        <v>2008</v>
      </c>
      <c r="B3">
        <v>2393</v>
      </c>
      <c r="C3">
        <v>21.1</v>
      </c>
      <c r="D3">
        <v>20.73</v>
      </c>
      <c r="E3">
        <v>12.06</v>
      </c>
    </row>
    <row r="4" spans="1:5" x14ac:dyDescent="0.3">
      <c r="A4">
        <v>2009</v>
      </c>
      <c r="B4">
        <v>5281</v>
      </c>
      <c r="C4">
        <v>51.9</v>
      </c>
      <c r="D4">
        <v>13.69</v>
      </c>
      <c r="E4">
        <v>12.44</v>
      </c>
    </row>
    <row r="5" spans="1:5" x14ac:dyDescent="0.3">
      <c r="A5">
        <v>2010</v>
      </c>
      <c r="B5">
        <v>12537</v>
      </c>
      <c r="C5">
        <v>132</v>
      </c>
      <c r="D5">
        <v>14.01</v>
      </c>
      <c r="E5">
        <v>11.99</v>
      </c>
    </row>
    <row r="6" spans="1:5" x14ac:dyDescent="0.3">
      <c r="A6">
        <v>2011</v>
      </c>
      <c r="B6">
        <v>21721</v>
      </c>
      <c r="C6">
        <v>261.7</v>
      </c>
      <c r="D6">
        <v>15.18</v>
      </c>
      <c r="E6">
        <v>12.22</v>
      </c>
    </row>
    <row r="7" spans="1:5" x14ac:dyDescent="0.3">
      <c r="A7">
        <v>2012</v>
      </c>
      <c r="B7">
        <v>53367</v>
      </c>
      <c r="C7">
        <v>718.4</v>
      </c>
      <c r="D7">
        <v>16.2</v>
      </c>
      <c r="E7">
        <v>13.64</v>
      </c>
    </row>
    <row r="8" spans="1:5" x14ac:dyDescent="0.3">
      <c r="A8">
        <v>2013</v>
      </c>
      <c r="B8">
        <v>134801</v>
      </c>
      <c r="C8">
        <v>1982.5</v>
      </c>
      <c r="D8">
        <v>15.6</v>
      </c>
      <c r="E8">
        <v>14.53</v>
      </c>
    </row>
    <row r="9" spans="1:5" x14ac:dyDescent="0.3">
      <c r="A9">
        <v>2014</v>
      </c>
      <c r="B9">
        <v>221820</v>
      </c>
      <c r="C9">
        <v>3228.3</v>
      </c>
      <c r="D9">
        <v>18.670000000000002</v>
      </c>
      <c r="E9">
        <v>13.64</v>
      </c>
    </row>
    <row r="10" spans="1:5" x14ac:dyDescent="0.3">
      <c r="A10">
        <v>2015</v>
      </c>
      <c r="B10">
        <v>374988</v>
      </c>
      <c r="C10">
        <v>5487</v>
      </c>
      <c r="D10">
        <v>20.49</v>
      </c>
      <c r="E10">
        <v>12.39</v>
      </c>
    </row>
    <row r="11" spans="1:5" x14ac:dyDescent="0.3">
      <c r="A11">
        <v>2016</v>
      </c>
      <c r="B11">
        <v>279698</v>
      </c>
      <c r="C11">
        <v>4069</v>
      </c>
      <c r="D11">
        <v>25.62</v>
      </c>
      <c r="E11">
        <v>13.22</v>
      </c>
    </row>
    <row r="12" spans="1:5" x14ac:dyDescent="0.3">
      <c r="A12">
        <v>2017</v>
      </c>
      <c r="B12">
        <v>167375</v>
      </c>
      <c r="C12">
        <v>2410.1</v>
      </c>
      <c r="D12">
        <v>26.8</v>
      </c>
      <c r="E12">
        <v>14.05</v>
      </c>
    </row>
    <row r="13" spans="1:5" x14ac:dyDescent="0.3">
      <c r="A13">
        <v>2018</v>
      </c>
      <c r="B13">
        <v>53700</v>
      </c>
      <c r="C13">
        <v>818.2</v>
      </c>
      <c r="D13">
        <v>25.07</v>
      </c>
      <c r="E13">
        <v>13.79</v>
      </c>
    </row>
    <row r="20" ht="94.95" customHeight="1" x14ac:dyDescent="0.3"/>
  </sheetData>
  <printOptions horizontalCentered="1"/>
  <pageMargins left="3.472222222222222E-3" right="3.472222222222222E-3" top="3.472222222222222E-3" bottom="3.472222222222222E-3" header="4.1666666666666666E-3" footer="4.1666666666666666E-3"/>
  <pageSetup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FB9F-7C88-455C-9695-ACCF9012611D}">
  <dimension ref="A1:E20"/>
  <sheetViews>
    <sheetView tabSelected="1" topLeftCell="A2" zoomScale="77" workbookViewId="0">
      <selection activeCell="O20" sqref="O20"/>
    </sheetView>
  </sheetViews>
  <sheetFormatPr defaultRowHeight="14.4" x14ac:dyDescent="0.3"/>
  <cols>
    <col min="1" max="1" width="16.88671875" bestFit="1" customWidth="1"/>
    <col min="2" max="2" width="8.109375" bestFit="1" customWidth="1"/>
    <col min="3" max="3" width="17.33203125" bestFit="1" customWidth="1"/>
    <col min="4" max="4" width="10.5546875" bestFit="1" customWidth="1"/>
    <col min="5" max="5" width="15.33203125" bestFit="1" customWidth="1"/>
    <col min="7" max="7" width="7.109375" customWidth="1"/>
    <col min="8" max="8" width="18.109375" customWidth="1"/>
    <col min="15" max="15" width="14.77734375" customWidth="1"/>
  </cols>
  <sheetData>
    <row r="1" spans="1:5" x14ac:dyDescent="0.3">
      <c r="A1" t="s">
        <v>34</v>
      </c>
      <c r="B1" t="s">
        <v>35</v>
      </c>
      <c r="C1" t="s">
        <v>2</v>
      </c>
      <c r="D1" t="s">
        <v>15</v>
      </c>
      <c r="E1" t="s">
        <v>4</v>
      </c>
    </row>
    <row r="2" spans="1:5" x14ac:dyDescent="0.3">
      <c r="A2" s="1" t="s">
        <v>36</v>
      </c>
      <c r="B2">
        <v>126976</v>
      </c>
      <c r="C2">
        <v>31.24</v>
      </c>
      <c r="D2">
        <v>15.42</v>
      </c>
      <c r="E2">
        <v>14322</v>
      </c>
    </row>
    <row r="3" spans="1:5" x14ac:dyDescent="0.3">
      <c r="A3" s="1" t="s">
        <v>37</v>
      </c>
      <c r="B3">
        <v>403892</v>
      </c>
      <c r="C3">
        <v>24.51</v>
      </c>
      <c r="D3">
        <v>13.8</v>
      </c>
      <c r="E3">
        <v>14736</v>
      </c>
    </row>
    <row r="4" spans="1:5" x14ac:dyDescent="0.3">
      <c r="A4" s="1" t="s">
        <v>38</v>
      </c>
      <c r="B4">
        <v>554665</v>
      </c>
      <c r="C4">
        <v>19.16</v>
      </c>
      <c r="D4">
        <v>12.88</v>
      </c>
      <c r="E4">
        <v>14642</v>
      </c>
    </row>
    <row r="5" spans="1:5" x14ac:dyDescent="0.3">
      <c r="A5" s="1" t="s">
        <v>39</v>
      </c>
      <c r="B5">
        <v>242751</v>
      </c>
      <c r="C5">
        <v>16.22</v>
      </c>
      <c r="D5">
        <v>12.32</v>
      </c>
      <c r="E5">
        <v>13567</v>
      </c>
    </row>
    <row r="20" ht="94.95" customHeight="1" x14ac:dyDescent="0.3"/>
  </sheetData>
  <printOptions horizontalCentered="1"/>
  <pageMargins left="3.472222222222222E-3" right="3.472222222222222E-3" top="3.472222222222222E-3" bottom="3.472222222222222E-3" header="4.1666666666666666E-3" footer="4.1666666666666666E-3"/>
  <pageSetup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41BE-AB59-4972-819E-F4ACC2B87968}">
  <dimension ref="A1:H20"/>
  <sheetViews>
    <sheetView showGridLines="0" tabSelected="1" zoomScale="84" zoomScaleNormal="131" workbookViewId="0">
      <pane xSplit="1" ySplit="4" topLeftCell="B5" activePane="bottomRight" state="frozen"/>
      <selection pane="topRight"/>
      <selection pane="bottomLeft"/>
      <selection pane="bottomRight" activeCell="O20" sqref="O20"/>
    </sheetView>
  </sheetViews>
  <sheetFormatPr defaultRowHeight="14.4" x14ac:dyDescent="0.3"/>
  <cols>
    <col min="1" max="1" width="1.44140625" customWidth="1"/>
    <col min="2" max="2" width="10.21875" customWidth="1"/>
    <col min="3" max="3" width="13" customWidth="1"/>
    <col min="4" max="4" width="13.88671875" customWidth="1"/>
    <col min="5" max="5" width="13" customWidth="1"/>
    <col min="6" max="6" width="20.33203125" customWidth="1"/>
    <col min="7" max="7" width="7.109375" customWidth="1"/>
    <col min="8" max="8" width="18.109375" customWidth="1"/>
  </cols>
  <sheetData>
    <row r="1" spans="1:8" ht="3" customHeight="1" x14ac:dyDescent="0.3"/>
    <row r="2" spans="1:8" ht="19.95" customHeight="1" x14ac:dyDescent="0.35">
      <c r="B2" s="5" t="s">
        <v>41</v>
      </c>
    </row>
    <row r="3" spans="1:8" ht="12" customHeight="1" x14ac:dyDescent="0.3">
      <c r="B3" s="6" t="s">
        <v>42</v>
      </c>
    </row>
    <row r="4" spans="1:8" ht="3" customHeight="1" x14ac:dyDescent="0.3"/>
    <row r="5" spans="1:8" ht="3" customHeight="1" x14ac:dyDescent="0.3"/>
    <row r="6" spans="1:8" s="2" customFormat="1" ht="12" customHeight="1" x14ac:dyDescent="0.3">
      <c r="A6" s="7"/>
      <c r="B6" s="7" t="s">
        <v>43</v>
      </c>
      <c r="C6" s="7"/>
      <c r="D6" s="7" t="s">
        <v>44</v>
      </c>
      <c r="E6" s="7"/>
      <c r="F6" s="7" t="s">
        <v>45</v>
      </c>
      <c r="G6" s="7"/>
      <c r="H6" s="7" t="s">
        <v>46</v>
      </c>
    </row>
    <row r="7" spans="1:8" s="3" customFormat="1" ht="22.05" customHeight="1" x14ac:dyDescent="0.55000000000000004">
      <c r="A7" s="4"/>
      <c r="B7" s="4">
        <f>SUM('Grade Analysis'!B2:B8)</f>
        <v>1328284</v>
      </c>
      <c r="C7" s="4"/>
      <c r="D7" s="8">
        <f>SUMPRODUCT('Grade Analysis'!B2:B8,'Grade Analysis'!C2:C8)/SUM('Grade Analysis'!B2:B8)/100</f>
        <v>0.2140927535828181</v>
      </c>
      <c r="E7" s="4"/>
      <c r="F7" s="9">
        <f>SUM('Grade Analysis'!F2:F8)</f>
        <v>4442.22</v>
      </c>
      <c r="G7" s="4"/>
      <c r="H7" s="4" t="s">
        <v>47</v>
      </c>
    </row>
    <row r="8" spans="1:8" ht="3" customHeight="1" x14ac:dyDescent="0.3"/>
    <row r="9" spans="1:8" ht="3" customHeight="1" x14ac:dyDescent="0.3"/>
    <row r="10" spans="1:8" ht="12" customHeight="1" x14ac:dyDescent="0.3">
      <c r="B10" s="7" t="s">
        <v>48</v>
      </c>
      <c r="C10" s="7" t="s">
        <v>49</v>
      </c>
      <c r="D10" s="7" t="s">
        <v>50</v>
      </c>
      <c r="E10" s="7" t="s">
        <v>51</v>
      </c>
    </row>
    <row r="11" spans="1:8" ht="12" customHeight="1" x14ac:dyDescent="0.3">
      <c r="B11" s="6" t="s">
        <v>7</v>
      </c>
      <c r="C11" s="6" t="str">
        <f>VLOOKUP(B11,'Grade Analysis'!$A:$G,3,0)&amp;"%"</f>
        <v>6.63%</v>
      </c>
      <c r="D11" s="6">
        <f>VLOOKUP(B11,'Grade Analysis'!$A:$G,6,0)</f>
        <v>208.96</v>
      </c>
      <c r="E11" s="6" t="s">
        <v>52</v>
      </c>
    </row>
    <row r="12" spans="1:8" ht="12" customHeight="1" x14ac:dyDescent="0.3">
      <c r="B12" s="6" t="s">
        <v>8</v>
      </c>
      <c r="C12" s="6" t="str">
        <f>VLOOKUP(B12,'Grade Analysis'!$A:$G,3,0)&amp;"%"</f>
        <v>14.52%</v>
      </c>
      <c r="D12" s="6">
        <f>VLOOKUP(B12,'Grade Analysis'!$A:$G,6,0)</f>
        <v>765.34</v>
      </c>
      <c r="E12" s="6" t="s">
        <v>53</v>
      </c>
    </row>
    <row r="13" spans="1:8" ht="12" customHeight="1" x14ac:dyDescent="0.3">
      <c r="B13" s="6" t="s">
        <v>9</v>
      </c>
      <c r="C13" s="6" t="str">
        <f>VLOOKUP(B13,'Grade Analysis'!$A:$G,3,0)&amp;"%"</f>
        <v>24.08%</v>
      </c>
      <c r="D13" s="6">
        <f>VLOOKUP(B13,'Grade Analysis'!$A:$G,6,0)</f>
        <v>1353.69</v>
      </c>
      <c r="E13" s="6" t="s">
        <v>54</v>
      </c>
    </row>
    <row r="14" spans="1:8" ht="12" customHeight="1" x14ac:dyDescent="0.3">
      <c r="B14" s="6" t="s">
        <v>10</v>
      </c>
      <c r="C14" s="6" t="str">
        <f>VLOOKUP(B14,'Grade Analysis'!$A:$G,3,0)&amp;"%"</f>
        <v>32.16%</v>
      </c>
      <c r="D14" s="6">
        <f>VLOOKUP(B14,'Grade Analysis'!$A:$G,6,0)</f>
        <v>1037.3399999999999</v>
      </c>
      <c r="E14" s="6" t="s">
        <v>55</v>
      </c>
    </row>
    <row r="15" spans="1:8" ht="12" customHeight="1" x14ac:dyDescent="0.3">
      <c r="B15" s="6" t="s">
        <v>11</v>
      </c>
      <c r="C15" s="6" t="str">
        <f>VLOOKUP(B15,'Grade Analysis'!$A:$G,3,0)&amp;"%"</f>
        <v>40.02%</v>
      </c>
      <c r="D15" s="6">
        <f>VLOOKUP(B15,'Grade Analysis'!$A:$G,6,0)</f>
        <v>683.73</v>
      </c>
      <c r="E15" s="6" t="s">
        <v>56</v>
      </c>
    </row>
    <row r="16" spans="1:8" ht="12" customHeight="1" x14ac:dyDescent="0.3">
      <c r="B16" s="6" t="s">
        <v>12</v>
      </c>
      <c r="C16" s="6" t="str">
        <f>VLOOKUP(B16,'Grade Analysis'!$A:$G,3,0)&amp;"%"</f>
        <v>46.46%</v>
      </c>
      <c r="D16" s="6">
        <f>VLOOKUP(B16,'Grade Analysis'!$A:$G,6,0)</f>
        <v>295.10000000000002</v>
      </c>
      <c r="E16" s="6" t="s">
        <v>57</v>
      </c>
    </row>
    <row r="17" spans="2:8" ht="12" customHeight="1" x14ac:dyDescent="0.3">
      <c r="B17" s="6" t="s">
        <v>13</v>
      </c>
      <c r="C17" s="6" t="str">
        <f>VLOOKUP(B17,'Grade Analysis'!$A:$G,3,0)&amp;"%"</f>
        <v>51.16%</v>
      </c>
      <c r="D17" s="6">
        <f>VLOOKUP(B17,'Grade Analysis'!$A:$G,6,0)</f>
        <v>98.06</v>
      </c>
      <c r="E17" s="6" t="s">
        <v>58</v>
      </c>
    </row>
    <row r="18" spans="2:8" ht="3" customHeight="1" x14ac:dyDescent="0.3"/>
    <row r="19" spans="2:8" ht="3" customHeight="1" x14ac:dyDescent="0.3"/>
    <row r="20" spans="2:8" ht="94.95" customHeight="1" x14ac:dyDescent="0.3">
      <c r="B20" s="10" t="s">
        <v>59</v>
      </c>
      <c r="C20" s="11"/>
      <c r="D20" s="11"/>
      <c r="E20" s="11"/>
      <c r="F20" s="11"/>
      <c r="G20" s="11"/>
      <c r="H20" s="12"/>
    </row>
  </sheetData>
  <mergeCells count="1">
    <mergeCell ref="B20:H20"/>
  </mergeCells>
  <conditionalFormatting sqref="D7">
    <cfRule type="cellIs" dxfId="2" priority="1" operator="lessThan">
      <formula>0.18</formula>
    </cfRule>
  </conditionalFormatting>
  <conditionalFormatting sqref="D7">
    <cfRule type="cellIs" dxfId="1" priority="2" operator="between">
      <formula>0.18</formula>
      <formula>0.25</formula>
    </cfRule>
  </conditionalFormatting>
  <conditionalFormatting sqref="D7">
    <cfRule type="cellIs" dxfId="0" priority="3" operator="greaterThan">
      <formula>0.25</formula>
    </cfRule>
  </conditionalFormatting>
  <printOptions horizontalCentered="1"/>
  <pageMargins left="2.7777777777777779E-3" right="2.7777777777777779E-3" top="2.7777777777777779E-3" bottom="2.7777777777777779E-3" header="1.3888888888888889E-3" footer="1.3888888888888889E-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E17CD6-F1A4-4E32-9F66-362DB7AE60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Grade Analysis</vt:lpstr>
      <vt:lpstr>Purpose Risk</vt:lpstr>
      <vt:lpstr>Portfolio Trend</vt:lpstr>
      <vt:lpstr>DTI Risk</vt:lpstr>
      <vt:lpstr>Executive Summary</vt:lpstr>
      <vt:lpstr>'Executive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Tofu</dc:creator>
  <cp:lastModifiedBy>Mr Tofu</cp:lastModifiedBy>
  <cp:lastPrinted>2026-05-12T18:29:52Z</cp:lastPrinted>
  <dcterms:created xsi:type="dcterms:W3CDTF">2026-05-12T15:58:03Z</dcterms:created>
  <dcterms:modified xsi:type="dcterms:W3CDTF">2026-05-12T18:34:04Z</dcterms:modified>
</cp:coreProperties>
</file>